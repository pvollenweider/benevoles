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 d'emploi" state="visible" r:id="rId4"/>
    <sheet sheetId="2" name="Planning" state="visible" r:id="rId5"/>
    <sheet sheetId="3" name="Récapitulatif" state="visible" r:id="rId6"/>
  </sheets>
  <definedNames>
    <definedName name="_xlnm.Print_Titles" localSheetId="1">'Planning'!$5:$5</definedName>
  </definedNames>
  <calcPr calcId="171027" fullCalcOnLoad="1"/>
</workbook>
</file>

<file path=xl/sharedStrings.xml><?xml version="1.0" encoding="utf-8"?>
<sst xmlns="http://schemas.openxmlformats.org/spreadsheetml/2006/main" count="96" uniqueCount="52">
  <si>
    <t>Modèle de planning des bénévoles</t>
  </si>
  <si>
    <t>Ce modèle répartit vos bénévoles sur une semaine : un bloc par poste, une colonne par jour, le nombre de personnes voulu pour chaque créneau, les noms des inscrits, et ce qui manque encore, en chiffres et en couleur.</t>
  </si>
  <si>
    <t/>
  </si>
  <si>
    <t>Remplir le planning</t>
  </si>
  <si>
    <t>1. Dans l'onglet « Planning », écrivez le nom de l'événement en B2 et la date du premier jour en B3 (par exemple 14/06/2027). Les en-têtes des jours se mettent à jour.</t>
  </si>
  <si>
    <t>2. Remplacez les postes d'exemple (Accueil, Buvette, Montage et rangement) par les vôtres : le nom du poste s'écrit sur la ligne colorée du bloc, les lignes en dessous le reprennent.</t>
  </si>
  <si>
    <t>3. Pour chaque créneau, écrivez son horaire dans la colonne B, sur la ligne « Besoin ».</t>
  </si>
  <si>
    <t>4. Sur la ligne « Besoin », indiquez pour chaque jour le nombre de personnes voulu. Laissez la case vide si le créneau n'a pas lieu ce jour-là.</t>
  </si>
  <si>
    <t>5. Écrivez un nom par case sur les lignes « Nom 1 » à « Nom 6 ». « Inscrits » et « Manque » se calculent seuls.</t>
  </si>
  <si>
    <t>6. L'onglet « Récapitulatif » additionne le besoin, les inscrits et le manque par jour, et le manque par poste.</t>
  </si>
  <si>
    <t>Lire les couleurs</t>
  </si>
  <si>
    <t>Ligne « Manque » en rouge : il manque encore des personnes sur ce créneau, ce jour-là. Le chiffre dit combien.</t>
  </si>
  <si>
    <t>Ligne « Manque » en vert : le créneau a le nombre de personnes voulu.</t>
  </si>
  <si>
    <t>Ligne « Inscrits » en jaune : plus de noms que de places prévues.</t>
  </si>
  <si>
    <t>Une case vide sur la ligne « Besoin » : pas de créneau ce jour-là, rien n'est compté.</t>
  </si>
  <si>
    <t>Adapter le modèle</t>
  </si>
  <si>
    <t>Plus de 6 noms sur un créneau : insérez des lignes entre « Nom 1 » et « Nom 6 » (pas en dessous de « Nom 6 »), le décompte les inclut.</t>
  </si>
  <si>
    <t>Un créneau de plus : copiez les lignes d'un créneau, de « Besoin » à « Manque », et collez-les sous le dernier créneau du bloc.</t>
  </si>
  <si>
    <t>Un poste de plus : copiez un bloc entier, de sa ligne colorée à sa ligne « Manque », collez-le sous le dernier bloc, puis changez le nom du poste sur la ligne colorée. Dans l'onglet « Récapitulatif », copiez une ligne du tableau « Manque par poste » et faites-la pointer sur la ligne colorée du nouveau bloc.</t>
  </si>
  <si>
    <t>Une autre semaine : dupliquez l'onglet « Planning », ou enregistrez une copie du fichier.</t>
  </si>
  <si>
    <t>Les limites d'un tableur</t>
  </si>
  <si>
    <t>Ce fichier ne prévient personne : les confirmations, les rappels et les changements d'horaire restent à envoyer à la main. Si plusieurs personnes le modifient en même temps ou s'en échangent des copies, vérifiez que tout le monde travaille sur la même version.</t>
  </si>
  <si>
    <t>Les coordonnées que vous y ajoutez sont des données personnelles : ne partagez le fichier qu'avec les personnes qui en ont besoin.</t>
  </si>
  <si>
    <t>Modèle proposé par benevol.app : https://www.benevol.app/modele-planning-benevoles</t>
  </si>
  <si>
    <t>Planning des bénévoles</t>
  </si>
  <si>
    <t>Événement</t>
  </si>
  <si>
    <t>Fête d'été (exemple)</t>
  </si>
  <si>
    <t>Premier jour</t>
  </si>
  <si>
    <t>Poste</t>
  </si>
  <si>
    <t>Créneau</t>
  </si>
  <si>
    <t>Ligne</t>
  </si>
  <si>
    <t>Accueil</t>
  </si>
  <si>
    <t>9 h à 12 h</t>
  </si>
  <si>
    <t>Besoin</t>
  </si>
  <si>
    <t>Nom 1</t>
  </si>
  <si>
    <t>Nom 2</t>
  </si>
  <si>
    <t>Nom 3</t>
  </si>
  <si>
    <t>Nom 4</t>
  </si>
  <si>
    <t>Nom 5</t>
  </si>
  <si>
    <t>Nom 6</t>
  </si>
  <si>
    <t>Inscrits</t>
  </si>
  <si>
    <t>Manque</t>
  </si>
  <si>
    <t>14 h à 18 h</t>
  </si>
  <si>
    <t>Buvette</t>
  </si>
  <si>
    <t>11 h à 15 h</t>
  </si>
  <si>
    <t>18 h à 23 h</t>
  </si>
  <si>
    <t>Montage et rangement</t>
  </si>
  <si>
    <t>8 h à 12 h</t>
  </si>
  <si>
    <t>Récapitulatif de la semaine</t>
  </si>
  <si>
    <t>Par jour</t>
  </si>
  <si>
    <t>Semaine</t>
  </si>
  <si>
    <t>Manque par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</si>
</sst>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  <font>
      <color rgb="FF595959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17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A4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A4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A4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A4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7A4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A28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2</v>
      </c>
    </row>
    <row r="12" spans="1:1" x14ac:dyDescent="0.25">
      <c r="A12" s="3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2</v>
      </c>
    </row>
    <row r="18" spans="1:1" x14ac:dyDescent="0.25">
      <c r="A18" s="3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</v>
      </c>
    </row>
    <row r="24" spans="1:1" x14ac:dyDescent="0.25">
      <c r="A24" s="3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</v>
      </c>
    </row>
    <row r="28" spans="1:1" x14ac:dyDescent="0.25">
      <c r="A28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workbookViewId="0">
      <pane xSplit="3" ySplit="5" topLeftCell="D6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0" customWidth="1"/>
    <col min="4" max="10" width="16" customWidth="1"/>
  </cols>
  <sheetData>
    <row r="1" spans="1:1" x14ac:dyDescent="0.25">
      <c r="A1" s="4" t="s">
        <v>24</v>
      </c>
    </row>
    <row r="2" spans="1:2" x14ac:dyDescent="0.25">
      <c r="A2" s="5" t="s">
        <v>25</v>
      </c>
      <c r="B2" t="s">
        <v>26</v>
      </c>
    </row>
    <row r="3" spans="1:2" x14ac:dyDescent="0.25">
      <c r="A3" s="5" t="s">
        <v>27</v>
      </c>
      <c r="B3" s="6"/>
    </row>
    <row r="5" spans="1:10" x14ac:dyDescent="0.25">
      <c r="A5" s="7" t="s">
        <v>28</v>
      </c>
      <c r="B5" s="7" t="s">
        <v>29</v>
      </c>
      <c r="C5" s="7" t="s">
        <v>30</v>
      </c>
      <c r="D5" s="8">
        <f>IF($B$3="","Jour 1",CHOOSE(WEEKDAY($B$3,2),"lundi","mardi","mercredi","jeudi","vendredi","samedi","dimanche")&amp;" "&amp;RIGHT("0"&amp;DAY($B$3),2)&amp;"/"&amp;RIGHT("0"&amp;MONTH($B$3),2))</f>
      </c>
      <c r="E5" s="8">
        <f>IF($B$3="","Jour 2",CHOOSE(WEEKDAY(($B$3+1),2),"lundi","mardi","mercredi","jeudi","vendredi","samedi","dimanche")&amp;" "&amp;RIGHT("0"&amp;DAY(($B$3+1)),2)&amp;"/"&amp;RIGHT("0"&amp;MONTH(($B$3+1)),2))</f>
      </c>
      <c r="F5" s="8">
        <f>IF($B$3="","Jour 3",CHOOSE(WEEKDAY(($B$3+2),2),"lundi","mardi","mercredi","jeudi","vendredi","samedi","dimanche")&amp;" "&amp;RIGHT("0"&amp;DAY(($B$3+2)),2)&amp;"/"&amp;RIGHT("0"&amp;MONTH(($B$3+2)),2))</f>
      </c>
      <c r="G5" s="8">
        <f>IF($B$3="","Jour 4",CHOOSE(WEEKDAY(($B$3+3),2),"lundi","mardi","mercredi","jeudi","vendredi","samedi","dimanche")&amp;" "&amp;RIGHT("0"&amp;DAY(($B$3+3)),2)&amp;"/"&amp;RIGHT("0"&amp;MONTH(($B$3+3)),2))</f>
      </c>
      <c r="H5" s="8">
        <f>IF($B$3="","Jour 5",CHOOSE(WEEKDAY(($B$3+4),2),"lundi","mardi","mercredi","jeudi","vendredi","samedi","dimanche")&amp;" "&amp;RIGHT("0"&amp;DAY(($B$3+4)),2)&amp;"/"&amp;RIGHT("0"&amp;MONTH(($B$3+4)),2))</f>
      </c>
      <c r="I5" s="8">
        <f>IF($B$3="","Jour 6",CHOOSE(WEEKDAY(($B$3+5),2),"lundi","mardi","mercredi","jeudi","vendredi","samedi","dimanche")&amp;" "&amp;RIGHT("0"&amp;DAY(($B$3+5)),2)&amp;"/"&amp;RIGHT("0"&amp;MONTH(($B$3+5)),2))</f>
      </c>
      <c r="J5" s="8">
        <f>IF($B$3="","Jour 7",CHOOSE(WEEKDAY(($B$3+6),2),"lundi","mardi","mercredi","jeudi","vendredi","samedi","dimanche")&amp;" "&amp;RIGHT("0"&amp;DAY(($B$3+6)),2)&amp;"/"&amp;RIGHT("0"&amp;MONTH(($B$3+6)),2))</f>
      </c>
    </row>
    <row r="6" spans="1:10" x14ac:dyDescent="0.25">
      <c r="A6" s="9" t="s">
        <v>31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x14ac:dyDescent="0.25">
      <c r="A7" s="11">
        <f>A6</f>
      </c>
      <c r="B7" t="s">
        <v>32</v>
      </c>
      <c r="C7" s="5" t="s">
        <v>33</v>
      </c>
      <c r="D7" s="12">
        <v>2</v>
      </c>
      <c r="E7" s="12">
        <v>2</v>
      </c>
      <c r="F7" s="12">
        <v>2</v>
      </c>
      <c r="G7" s="12">
        <v>2</v>
      </c>
      <c r="H7" s="12">
        <v>2</v>
      </c>
      <c r="I7" s="12">
        <v>3</v>
      </c>
      <c r="J7" s="12">
        <v>3</v>
      </c>
    </row>
    <row r="8" spans="1:3" x14ac:dyDescent="0.25">
      <c r="A8" s="11">
        <f>A7</f>
      </c>
      <c r="B8" s="11">
        <f>B7</f>
      </c>
      <c r="C8" t="s">
        <v>34</v>
      </c>
    </row>
    <row r="9" spans="1:3" x14ac:dyDescent="0.25">
      <c r="A9" s="11">
        <f>A8</f>
      </c>
      <c r="B9" s="11">
        <f>B8</f>
      </c>
      <c r="C9" t="s">
        <v>35</v>
      </c>
    </row>
    <row r="10" spans="1:3" x14ac:dyDescent="0.25">
      <c r="A10" s="11">
        <f>A9</f>
      </c>
      <c r="B10" s="11">
        <f>B9</f>
      </c>
      <c r="C10" t="s">
        <v>36</v>
      </c>
    </row>
    <row r="11" spans="1:3" x14ac:dyDescent="0.25">
      <c r="A11" s="11">
        <f>A10</f>
      </c>
      <c r="B11" s="11">
        <f>B10</f>
      </c>
      <c r="C11" t="s">
        <v>37</v>
      </c>
    </row>
    <row r="12" spans="1:3" x14ac:dyDescent="0.25">
      <c r="A12" s="11">
        <f>A11</f>
      </c>
      <c r="B12" s="11">
        <f>B11</f>
      </c>
      <c r="C12" t="s">
        <v>38</v>
      </c>
    </row>
    <row r="13" spans="1:3" x14ac:dyDescent="0.25">
      <c r="A13" s="11">
        <f>A12</f>
      </c>
      <c r="B13" s="11">
        <f>B12</f>
      </c>
      <c r="C13" t="s">
        <v>39</v>
      </c>
    </row>
    <row r="14" spans="1:10" x14ac:dyDescent="0.25">
      <c r="A14" s="11">
        <f>A13</f>
      </c>
      <c r="B14" s="11">
        <f>B13</f>
      </c>
      <c r="C14" s="5" t="s">
        <v>40</v>
      </c>
      <c r="D14" s="13">
        <f>COUNTA(D8:D13)</f>
      </c>
      <c r="E14" s="13">
        <f>COUNTA(E8:E13)</f>
      </c>
      <c r="F14" s="13">
        <f>COUNTA(F8:F13)</f>
      </c>
      <c r="G14" s="13">
        <f>COUNTA(G8:G13)</f>
      </c>
      <c r="H14" s="13">
        <f>COUNTA(H8:H13)</f>
      </c>
      <c r="I14" s="13">
        <f>COUNTA(I8:I13)</f>
      </c>
      <c r="J14" s="13">
        <f>COUNTA(J8:J13)</f>
      </c>
    </row>
    <row r="15" spans="1:10" x14ac:dyDescent="0.25">
      <c r="A15" s="14">
        <f>A14</f>
      </c>
      <c r="B15" s="14">
        <f>B14</f>
      </c>
      <c r="C15" s="15" t="s">
        <v>41</v>
      </c>
      <c r="D15" s="16">
        <f>IF(D7="","",MAX(0,D7-D14))</f>
      </c>
      <c r="E15" s="16">
        <f>IF(E7="","",MAX(0,E7-E14))</f>
      </c>
      <c r="F15" s="16">
        <f>IF(F7="","",MAX(0,F7-F14))</f>
      </c>
      <c r="G15" s="16">
        <f>IF(G7="","",MAX(0,G7-G14))</f>
      </c>
      <c r="H15" s="16">
        <f>IF(H7="","",MAX(0,H7-H14))</f>
      </c>
      <c r="I15" s="16">
        <f>IF(I7="","",MAX(0,I7-I14))</f>
      </c>
      <c r="J15" s="16">
        <f>IF(J7="","",MAX(0,J7-J14))</f>
      </c>
    </row>
    <row r="16" spans="1:10" x14ac:dyDescent="0.25">
      <c r="A16" s="11">
        <f>A15</f>
      </c>
      <c r="B16" t="s">
        <v>42</v>
      </c>
      <c r="C16" s="5" t="s">
        <v>33</v>
      </c>
      <c r="D16" s="12">
        <v>2</v>
      </c>
      <c r="E16" s="12">
        <v>2</v>
      </c>
      <c r="F16" s="12">
        <v>2</v>
      </c>
      <c r="G16" s="12">
        <v>2</v>
      </c>
      <c r="H16" s="12">
        <v>2</v>
      </c>
      <c r="I16" s="12">
        <v>3</v>
      </c>
      <c r="J16" s="12">
        <v>3</v>
      </c>
    </row>
    <row r="17" spans="1:3" x14ac:dyDescent="0.25">
      <c r="A17" s="11">
        <f>A16</f>
      </c>
      <c r="B17" s="11">
        <f>B16</f>
      </c>
      <c r="C17" t="s">
        <v>34</v>
      </c>
    </row>
    <row r="18" spans="1:3" x14ac:dyDescent="0.25">
      <c r="A18" s="11">
        <f>A17</f>
      </c>
      <c r="B18" s="11">
        <f>B17</f>
      </c>
      <c r="C18" t="s">
        <v>35</v>
      </c>
    </row>
    <row r="19" spans="1:3" x14ac:dyDescent="0.25">
      <c r="A19" s="11">
        <f>A18</f>
      </c>
      <c r="B19" s="11">
        <f>B18</f>
      </c>
      <c r="C19" t="s">
        <v>36</v>
      </c>
    </row>
    <row r="20" spans="1:3" x14ac:dyDescent="0.25">
      <c r="A20" s="11">
        <f>A19</f>
      </c>
      <c r="B20" s="11">
        <f>B19</f>
      </c>
      <c r="C20" t="s">
        <v>37</v>
      </c>
    </row>
    <row r="21" spans="1:3" x14ac:dyDescent="0.25">
      <c r="A21" s="11">
        <f>A20</f>
      </c>
      <c r="B21" s="11">
        <f>B20</f>
      </c>
      <c r="C21" t="s">
        <v>38</v>
      </c>
    </row>
    <row r="22" spans="1:3" x14ac:dyDescent="0.25">
      <c r="A22" s="11">
        <f>A21</f>
      </c>
      <c r="B22" s="11">
        <f>B21</f>
      </c>
      <c r="C22" t="s">
        <v>39</v>
      </c>
    </row>
    <row r="23" spans="1:10" x14ac:dyDescent="0.25">
      <c r="A23" s="11">
        <f>A22</f>
      </c>
      <c r="B23" s="11">
        <f>B22</f>
      </c>
      <c r="C23" s="5" t="s">
        <v>40</v>
      </c>
      <c r="D23" s="13">
        <f>COUNTA(D17:D22)</f>
      </c>
      <c r="E23" s="13">
        <f>COUNTA(E17:E22)</f>
      </c>
      <c r="F23" s="13">
        <f>COUNTA(F17:F22)</f>
      </c>
      <c r="G23" s="13">
        <f>COUNTA(G17:G22)</f>
      </c>
      <c r="H23" s="13">
        <f>COUNTA(H17:H22)</f>
      </c>
      <c r="I23" s="13">
        <f>COUNTA(I17:I22)</f>
      </c>
      <c r="J23" s="13">
        <f>COUNTA(J17:J22)</f>
      </c>
    </row>
    <row r="24" spans="1:10" x14ac:dyDescent="0.25">
      <c r="A24" s="14">
        <f>A23</f>
      </c>
      <c r="B24" s="14">
        <f>B23</f>
      </c>
      <c r="C24" s="15" t="s">
        <v>41</v>
      </c>
      <c r="D24" s="16">
        <f>IF(D16="","",MAX(0,D16-D23))</f>
      </c>
      <c r="E24" s="16">
        <f>IF(E16="","",MAX(0,E16-E23))</f>
      </c>
      <c r="F24" s="16">
        <f>IF(F16="","",MAX(0,F16-F23))</f>
      </c>
      <c r="G24" s="16">
        <f>IF(G16="","",MAX(0,G16-G23))</f>
      </c>
      <c r="H24" s="16">
        <f>IF(H16="","",MAX(0,H16-H23))</f>
      </c>
      <c r="I24" s="16">
        <f>IF(I16="","",MAX(0,I16-I23))</f>
      </c>
      <c r="J24" s="16">
        <f>IF(J16="","",MAX(0,J16-J23))</f>
      </c>
    </row>
    <row r="26" spans="1:10" x14ac:dyDescent="0.25">
      <c r="A26" s="9" t="s">
        <v>43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25">
      <c r="A27" s="11">
        <f>A26</f>
      </c>
      <c r="B27" t="s">
        <v>44</v>
      </c>
      <c r="C27" s="5" t="s">
        <v>33</v>
      </c>
      <c r="D27" s="12"/>
      <c r="E27" s="12"/>
      <c r="F27" s="12"/>
      <c r="G27" s="12"/>
      <c r="H27" s="12">
        <v>3</v>
      </c>
      <c r="I27" s="12">
        <v>4</v>
      </c>
      <c r="J27" s="12">
        <v>4</v>
      </c>
    </row>
    <row r="28" spans="1:3" x14ac:dyDescent="0.25">
      <c r="A28" s="11">
        <f>A27</f>
      </c>
      <c r="B28" s="11">
        <f>B27</f>
      </c>
      <c r="C28" t="s">
        <v>34</v>
      </c>
    </row>
    <row r="29" spans="1:3" x14ac:dyDescent="0.25">
      <c r="A29" s="11">
        <f>A28</f>
      </c>
      <c r="B29" s="11">
        <f>B28</f>
      </c>
      <c r="C29" t="s">
        <v>35</v>
      </c>
    </row>
    <row r="30" spans="1:3" x14ac:dyDescent="0.25">
      <c r="A30" s="11">
        <f>A29</f>
      </c>
      <c r="B30" s="11">
        <f>B29</f>
      </c>
      <c r="C30" t="s">
        <v>36</v>
      </c>
    </row>
    <row r="31" spans="1:3" x14ac:dyDescent="0.25">
      <c r="A31" s="11">
        <f>A30</f>
      </c>
      <c r="B31" s="11">
        <f>B30</f>
      </c>
      <c r="C31" t="s">
        <v>37</v>
      </c>
    </row>
    <row r="32" spans="1:3" x14ac:dyDescent="0.25">
      <c r="A32" s="11">
        <f>A31</f>
      </c>
      <c r="B32" s="11">
        <f>B31</f>
      </c>
      <c r="C32" t="s">
        <v>38</v>
      </c>
    </row>
    <row r="33" spans="1:3" x14ac:dyDescent="0.25">
      <c r="A33" s="11">
        <f>A32</f>
      </c>
      <c r="B33" s="11">
        <f>B32</f>
      </c>
      <c r="C33" t="s">
        <v>39</v>
      </c>
    </row>
    <row r="34" spans="1:10" x14ac:dyDescent="0.25">
      <c r="A34" s="11">
        <f>A33</f>
      </c>
      <c r="B34" s="11">
        <f>B33</f>
      </c>
      <c r="C34" s="5" t="s">
        <v>40</v>
      </c>
      <c r="D34" s="13">
        <f>COUNTA(D28:D33)</f>
      </c>
      <c r="E34" s="13">
        <f>COUNTA(E28:E33)</f>
      </c>
      <c r="F34" s="13">
        <f>COUNTA(F28:F33)</f>
      </c>
      <c r="G34" s="13">
        <f>COUNTA(G28:G33)</f>
      </c>
      <c r="H34" s="13">
        <f>COUNTA(H28:H33)</f>
      </c>
      <c r="I34" s="13">
        <f>COUNTA(I28:I33)</f>
      </c>
      <c r="J34" s="13">
        <f>COUNTA(J28:J33)</f>
      </c>
    </row>
    <row r="35" spans="1:10" x14ac:dyDescent="0.25">
      <c r="A35" s="14">
        <f>A34</f>
      </c>
      <c r="B35" s="14">
        <f>B34</f>
      </c>
      <c r="C35" s="15" t="s">
        <v>41</v>
      </c>
      <c r="D35" s="16">
        <f>IF(D27="","",MAX(0,D27-D34))</f>
      </c>
      <c r="E35" s="16">
        <f>IF(E27="","",MAX(0,E27-E34))</f>
      </c>
      <c r="F35" s="16">
        <f>IF(F27="","",MAX(0,F27-F34))</f>
      </c>
      <c r="G35" s="16">
        <f>IF(G27="","",MAX(0,G27-G34))</f>
      </c>
      <c r="H35" s="16">
        <f>IF(H27="","",MAX(0,H27-H34))</f>
      </c>
      <c r="I35" s="16">
        <f>IF(I27="","",MAX(0,I27-I34))</f>
      </c>
      <c r="J35" s="16">
        <f>IF(J27="","",MAX(0,J27-J34))</f>
      </c>
    </row>
    <row r="36" spans="1:10" x14ac:dyDescent="0.25">
      <c r="A36" s="11">
        <f>A35</f>
      </c>
      <c r="B36" t="s">
        <v>45</v>
      </c>
      <c r="C36" s="5" t="s">
        <v>33</v>
      </c>
      <c r="D36" s="12"/>
      <c r="E36" s="12"/>
      <c r="F36" s="12"/>
      <c r="G36" s="12"/>
      <c r="H36" s="12">
        <v>4</v>
      </c>
      <c r="I36" s="12">
        <v>4</v>
      </c>
      <c r="J36" s="12"/>
    </row>
    <row r="37" spans="1:3" x14ac:dyDescent="0.25">
      <c r="A37" s="11">
        <f>A36</f>
      </c>
      <c r="B37" s="11">
        <f>B36</f>
      </c>
      <c r="C37" t="s">
        <v>34</v>
      </c>
    </row>
    <row r="38" spans="1:3" x14ac:dyDescent="0.25">
      <c r="A38" s="11">
        <f>A37</f>
      </c>
      <c r="B38" s="11">
        <f>B37</f>
      </c>
      <c r="C38" t="s">
        <v>35</v>
      </c>
    </row>
    <row r="39" spans="1:3" x14ac:dyDescent="0.25">
      <c r="A39" s="11">
        <f>A38</f>
      </c>
      <c r="B39" s="11">
        <f>B38</f>
      </c>
      <c r="C39" t="s">
        <v>36</v>
      </c>
    </row>
    <row r="40" spans="1:3" x14ac:dyDescent="0.25">
      <c r="A40" s="11">
        <f>A39</f>
      </c>
      <c r="B40" s="11">
        <f>B39</f>
      </c>
      <c r="C40" t="s">
        <v>37</v>
      </c>
    </row>
    <row r="41" spans="1:3" x14ac:dyDescent="0.25">
      <c r="A41" s="11">
        <f>A40</f>
      </c>
      <c r="B41" s="11">
        <f>B40</f>
      </c>
      <c r="C41" t="s">
        <v>38</v>
      </c>
    </row>
    <row r="42" spans="1:3" x14ac:dyDescent="0.25">
      <c r="A42" s="11">
        <f>A41</f>
      </c>
      <c r="B42" s="11">
        <f>B41</f>
      </c>
      <c r="C42" t="s">
        <v>39</v>
      </c>
    </row>
    <row r="43" spans="1:10" x14ac:dyDescent="0.25">
      <c r="A43" s="11">
        <f>A42</f>
      </c>
      <c r="B43" s="11">
        <f>B42</f>
      </c>
      <c r="C43" s="5" t="s">
        <v>40</v>
      </c>
      <c r="D43" s="13">
        <f>COUNTA(D37:D42)</f>
      </c>
      <c r="E43" s="13">
        <f>COUNTA(E37:E42)</f>
      </c>
      <c r="F43" s="13">
        <f>COUNTA(F37:F42)</f>
      </c>
      <c r="G43" s="13">
        <f>COUNTA(G37:G42)</f>
      </c>
      <c r="H43" s="13">
        <f>COUNTA(H37:H42)</f>
      </c>
      <c r="I43" s="13">
        <f>COUNTA(I37:I42)</f>
      </c>
      <c r="J43" s="13">
        <f>COUNTA(J37:J42)</f>
      </c>
    </row>
    <row r="44" spans="1:10" x14ac:dyDescent="0.25">
      <c r="A44" s="14">
        <f>A43</f>
      </c>
      <c r="B44" s="14">
        <f>B43</f>
      </c>
      <c r="C44" s="15" t="s">
        <v>41</v>
      </c>
      <c r="D44" s="16">
        <f>IF(D36="","",MAX(0,D36-D43))</f>
      </c>
      <c r="E44" s="16">
        <f>IF(E36="","",MAX(0,E36-E43))</f>
      </c>
      <c r="F44" s="16">
        <f>IF(F36="","",MAX(0,F36-F43))</f>
      </c>
      <c r="G44" s="16">
        <f>IF(G36="","",MAX(0,G36-G43))</f>
      </c>
      <c r="H44" s="16">
        <f>IF(H36="","",MAX(0,H36-H43))</f>
      </c>
      <c r="I44" s="16">
        <f>IF(I36="","",MAX(0,I36-I43))</f>
      </c>
      <c r="J44" s="16">
        <f>IF(J36="","",MAX(0,J36-J43))</f>
      </c>
    </row>
    <row r="46" spans="1:10" x14ac:dyDescent="0.25">
      <c r="A46" s="9" t="s">
        <v>46</v>
      </c>
      <c r="B46" s="10"/>
      <c r="C46" s="10"/>
      <c r="D46" s="10"/>
      <c r="E46" s="10"/>
      <c r="F46" s="10"/>
      <c r="G46" s="10"/>
      <c r="H46" s="10"/>
      <c r="I46" s="10"/>
      <c r="J46" s="10"/>
    </row>
    <row r="47" spans="1:10" x14ac:dyDescent="0.25">
      <c r="A47" s="11">
        <f>A46</f>
      </c>
      <c r="B47" t="s">
        <v>47</v>
      </c>
      <c r="C47" s="5" t="s">
        <v>33</v>
      </c>
      <c r="D47" s="12"/>
      <c r="E47" s="12"/>
      <c r="F47" s="12"/>
      <c r="G47" s="12"/>
      <c r="H47" s="12">
        <v>6</v>
      </c>
      <c r="I47" s="12"/>
      <c r="J47" s="12">
        <v>6</v>
      </c>
    </row>
    <row r="48" spans="1:3" x14ac:dyDescent="0.25">
      <c r="A48" s="11">
        <f>A47</f>
      </c>
      <c r="B48" s="11">
        <f>B47</f>
      </c>
      <c r="C48" t="s">
        <v>34</v>
      </c>
    </row>
    <row r="49" spans="1:3" x14ac:dyDescent="0.25">
      <c r="A49" s="11">
        <f>A48</f>
      </c>
      <c r="B49" s="11">
        <f>B48</f>
      </c>
      <c r="C49" t="s">
        <v>35</v>
      </c>
    </row>
    <row r="50" spans="1:3" x14ac:dyDescent="0.25">
      <c r="A50" s="11">
        <f>A49</f>
      </c>
      <c r="B50" s="11">
        <f>B49</f>
      </c>
      <c r="C50" t="s">
        <v>36</v>
      </c>
    </row>
    <row r="51" spans="1:3" x14ac:dyDescent="0.25">
      <c r="A51" s="11">
        <f>A50</f>
      </c>
      <c r="B51" s="11">
        <f>B50</f>
      </c>
      <c r="C51" t="s">
        <v>37</v>
      </c>
    </row>
    <row r="52" spans="1:3" x14ac:dyDescent="0.25">
      <c r="A52" s="11">
        <f>A51</f>
      </c>
      <c r="B52" s="11">
        <f>B51</f>
      </c>
      <c r="C52" t="s">
        <v>38</v>
      </c>
    </row>
    <row r="53" spans="1:3" x14ac:dyDescent="0.25">
      <c r="A53" s="11">
        <f>A52</f>
      </c>
      <c r="B53" s="11">
        <f>B52</f>
      </c>
      <c r="C53" t="s">
        <v>39</v>
      </c>
    </row>
    <row r="54" spans="1:10" x14ac:dyDescent="0.25">
      <c r="A54" s="11">
        <f>A53</f>
      </c>
      <c r="B54" s="11">
        <f>B53</f>
      </c>
      <c r="C54" s="5" t="s">
        <v>40</v>
      </c>
      <c r="D54" s="13">
        <f>COUNTA(D48:D53)</f>
      </c>
      <c r="E54" s="13">
        <f>COUNTA(E48:E53)</f>
      </c>
      <c r="F54" s="13">
        <f>COUNTA(F48:F53)</f>
      </c>
      <c r="G54" s="13">
        <f>COUNTA(G48:G53)</f>
      </c>
      <c r="H54" s="13">
        <f>COUNTA(H48:H53)</f>
      </c>
      <c r="I54" s="13">
        <f>COUNTA(I48:I53)</f>
      </c>
      <c r="J54" s="13">
        <f>COUNTA(J48:J53)</f>
      </c>
    </row>
    <row r="55" spans="1:10" x14ac:dyDescent="0.25">
      <c r="A55" s="14">
        <f>A54</f>
      </c>
      <c r="B55" s="14">
        <f>B54</f>
      </c>
      <c r="C55" s="15" t="s">
        <v>41</v>
      </c>
      <c r="D55" s="16">
        <f>IF(D47="","",MAX(0,D47-D54))</f>
      </c>
      <c r="E55" s="16">
        <f>IF(E47="","",MAX(0,E47-E54))</f>
      </c>
      <c r="F55" s="16">
        <f>IF(F47="","",MAX(0,F47-F54))</f>
      </c>
      <c r="G55" s="16">
        <f>IF(G47="","",MAX(0,G47-G54))</f>
      </c>
      <c r="H55" s="16">
        <f>IF(H47="","",MAX(0,H47-H54))</f>
      </c>
      <c r="I55" s="16">
        <f>IF(I47="","",MAX(0,I47-I54))</f>
      </c>
      <c r="J55" s="16">
        <f>IF(J47="","",MAX(0,J47-J54))</f>
      </c>
    </row>
  </sheetData>
  <conditionalFormatting sqref="D15:J15">
    <cfRule type="expression" dxfId="0" priority="1">
      <formula>AND(D7&lt;&gt;"",D15&gt;0)</formula>
    </cfRule>
    <cfRule type="expression" dxfId="1" priority="2">
      <formula>AND(D7&lt;&gt;"",D15=0)</formula>
    </cfRule>
  </conditionalFormatting>
  <conditionalFormatting sqref="D14:J14">
    <cfRule type="expression" dxfId="2" priority="3">
      <formula>AND(D7&lt;&gt;"",D14&gt;D7)</formula>
    </cfRule>
  </conditionalFormatting>
  <conditionalFormatting sqref="D24:J24">
    <cfRule type="expression" dxfId="3" priority="1">
      <formula>AND(D16&lt;&gt;"",D24&gt;0)</formula>
    </cfRule>
    <cfRule type="expression" dxfId="4" priority="2">
      <formula>AND(D16&lt;&gt;"",D24=0)</formula>
    </cfRule>
  </conditionalFormatting>
  <conditionalFormatting sqref="D23:J23">
    <cfRule type="expression" dxfId="5" priority="3">
      <formula>AND(D16&lt;&gt;"",D23&gt;D16)</formula>
    </cfRule>
  </conditionalFormatting>
  <conditionalFormatting sqref="D35:J35">
    <cfRule type="expression" dxfId="6" priority="1">
      <formula>AND(D27&lt;&gt;"",D35&gt;0)</formula>
    </cfRule>
    <cfRule type="expression" dxfId="7" priority="2">
      <formula>AND(D27&lt;&gt;"",D35=0)</formula>
    </cfRule>
  </conditionalFormatting>
  <conditionalFormatting sqref="D34:J34">
    <cfRule type="expression" dxfId="8" priority="3">
      <formula>AND(D27&lt;&gt;"",D34&gt;D27)</formula>
    </cfRule>
  </conditionalFormatting>
  <conditionalFormatting sqref="D44:J44">
    <cfRule type="expression" dxfId="9" priority="1">
      <formula>AND(D36&lt;&gt;"",D44&gt;0)</formula>
    </cfRule>
    <cfRule type="expression" dxfId="10" priority="2">
      <formula>AND(D36&lt;&gt;"",D44=0)</formula>
    </cfRule>
  </conditionalFormatting>
  <conditionalFormatting sqref="D43:J43">
    <cfRule type="expression" dxfId="11" priority="3">
      <formula>AND(D36&lt;&gt;"",D43&gt;D36)</formula>
    </cfRule>
  </conditionalFormatting>
  <conditionalFormatting sqref="D55:J55">
    <cfRule type="expression" dxfId="12" priority="1">
      <formula>AND(D47&lt;&gt;"",D55&gt;0)</formula>
    </cfRule>
    <cfRule type="expression" dxfId="13" priority="2">
      <formula>AND(D47&lt;&gt;"",D55=0)</formula>
    </cfRule>
  </conditionalFormatting>
  <conditionalFormatting sqref="D54:J54">
    <cfRule type="expression" dxfId="14" priority="3">
      <formula>AND(D47&lt;&gt;"",D54&gt;D47)</formula>
    </cfRule>
  </conditionalFormatting>
  <dataValidations count="6">
    <dataValidation type="date" operator="greaterThan" allowBlank="1" showInputMessage="1" promptTitle="Premier jour" prompt="La date du premier jour de la semaine, par exemple 14/06/2027. Les en-têtes des jours la suivent." showErrorMessage="1" errorTitle="Date attendue" error="Écrivez une date, par exemple 14/06/2027." sqref="B3">
      <formula1>36526</formula1>
    </dataValidation>
    <dataValidation type="whole" allowBlank="1" showInputMessage="1" promptTitle="Besoin" prompt="Le nombre de personnes voulu ce jour-là. Laissez vide si le créneau n'a pas lieu." showErrorMessage="1" errorTitle="Nombre attendu" error="Le besoin est un nombre de personnes, de 0 à 99. Laissez la case vide si le créneau n'a pas lieu ce jour-là." sqref="D16:J16">
      <formula1>0</formula1>
      <formula2>99</formula2>
    </dataValidation>
    <dataValidation type="whole" allowBlank="1" showInputMessage="1" promptTitle="Besoin" prompt="Le nombre de personnes voulu ce jour-là. Laissez vide si le créneau n'a pas lieu." showErrorMessage="1" errorTitle="Nombre attendu" error="Le besoin est un nombre de personnes, de 0 à 99. Laissez la case vide si le créneau n'a pas lieu ce jour-là." sqref="D27:J27">
      <formula1>0</formula1>
      <formula2>99</formula2>
    </dataValidation>
    <dataValidation type="whole" allowBlank="1" showInputMessage="1" promptTitle="Besoin" prompt="Le nombre de personnes voulu ce jour-là. Laissez vide si le créneau n'a pas lieu." showErrorMessage="1" errorTitle="Nombre attendu" error="Le besoin est un nombre de personnes, de 0 à 99. Laissez la case vide si le créneau n'a pas lieu ce jour-là." sqref="D36:J36">
      <formula1>0</formula1>
      <formula2>99</formula2>
    </dataValidation>
    <dataValidation type="whole" allowBlank="1" showInputMessage="1" promptTitle="Besoin" prompt="Le nombre de personnes voulu ce jour-là. Laissez vide si le créneau n'a pas lieu." showErrorMessage="1" errorTitle="Nombre attendu" error="Le besoin est un nombre de personnes, de 0 à 99. Laissez la case vide si le créneau n'a pas lieu ce jour-là." sqref="D47:J47">
      <formula1>0</formula1>
      <formula2>99</formula2>
    </dataValidation>
    <dataValidation type="whole" allowBlank="1" showInputMessage="1" promptTitle="Besoin" prompt="Le nombre de personnes voulu ce jour-là. Laissez vide si le créneau n'a pas lieu." showErrorMessage="1" errorTitle="Nombre attendu" error="Le besoin est un nombre de personnes, de 0 à 99. Laissez la case vide si le créneau n'a pas lieu ce jour-là." sqref="D7:J7">
      <formula1>0</formula1>
      <formula2>99</formula2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9" width="16" customWidth="1"/>
  </cols>
  <sheetData>
    <row r="1" spans="1:1" x14ac:dyDescent="0.25">
      <c r="A1" s="4" t="s">
        <v>48</v>
      </c>
    </row>
    <row r="3" spans="1:9" x14ac:dyDescent="0.25">
      <c r="A3" s="7" t="s">
        <v>49</v>
      </c>
      <c r="B3" s="8">
        <f>'Planning'!D5</f>
      </c>
      <c r="C3" s="8">
        <f>'Planning'!E5</f>
      </c>
      <c r="D3" s="8">
        <f>'Planning'!F5</f>
      </c>
      <c r="E3" s="8">
        <f>'Planning'!G5</f>
      </c>
      <c r="F3" s="8">
        <f>'Planning'!H5</f>
      </c>
      <c r="G3" s="8">
        <f>'Planning'!I5</f>
      </c>
      <c r="H3" s="8">
        <f>'Planning'!J5</f>
      </c>
      <c r="I3" s="8" t="s">
        <v>50</v>
      </c>
    </row>
    <row r="4" spans="1:9" x14ac:dyDescent="0.25">
      <c r="A4" s="5" t="s">
        <v>33</v>
      </c>
      <c r="B4" s="13">
        <f>SUMIF('Planning'!$C:$C,"Besoin",'Planning'!D:D)</f>
      </c>
      <c r="C4" s="13">
        <f>SUMIF('Planning'!$C:$C,"Besoin",'Planning'!E:E)</f>
      </c>
      <c r="D4" s="13">
        <f>SUMIF('Planning'!$C:$C,"Besoin",'Planning'!F:F)</f>
      </c>
      <c r="E4" s="13">
        <f>SUMIF('Planning'!$C:$C,"Besoin",'Planning'!G:G)</f>
      </c>
      <c r="F4" s="13">
        <f>SUMIF('Planning'!$C:$C,"Besoin",'Planning'!H:H)</f>
      </c>
      <c r="G4" s="13">
        <f>SUMIF('Planning'!$C:$C,"Besoin",'Planning'!I:I)</f>
      </c>
      <c r="H4" s="13">
        <f>SUMIF('Planning'!$C:$C,"Besoin",'Planning'!J:J)</f>
      </c>
      <c r="I4" s="12">
        <f>SUM(B4:H4)</f>
      </c>
    </row>
    <row r="5" spans="1:9" x14ac:dyDescent="0.25">
      <c r="A5" s="5" t="s">
        <v>40</v>
      </c>
      <c r="B5" s="13">
        <f>SUMIF('Planning'!$C:$C,"Inscrits",'Planning'!D:D)</f>
      </c>
      <c r="C5" s="13">
        <f>SUMIF('Planning'!$C:$C,"Inscrits",'Planning'!E:E)</f>
      </c>
      <c r="D5" s="13">
        <f>SUMIF('Planning'!$C:$C,"Inscrits",'Planning'!F:F)</f>
      </c>
      <c r="E5" s="13">
        <f>SUMIF('Planning'!$C:$C,"Inscrits",'Planning'!G:G)</f>
      </c>
      <c r="F5" s="13">
        <f>SUMIF('Planning'!$C:$C,"Inscrits",'Planning'!H:H)</f>
      </c>
      <c r="G5" s="13">
        <f>SUMIF('Planning'!$C:$C,"Inscrits",'Planning'!I:I)</f>
      </c>
      <c r="H5" s="13">
        <f>SUMIF('Planning'!$C:$C,"Inscrits",'Planning'!J:J)</f>
      </c>
      <c r="I5" s="12">
        <f>SUM(B5:H5)</f>
      </c>
    </row>
    <row r="6" spans="1:9" x14ac:dyDescent="0.25">
      <c r="A6" s="5" t="s">
        <v>41</v>
      </c>
      <c r="B6" s="13">
        <f>SUMIF('Planning'!$C:$C,"Manque",'Planning'!D:D)</f>
      </c>
      <c r="C6" s="13">
        <f>SUMIF('Planning'!$C:$C,"Manque",'Planning'!E:E)</f>
      </c>
      <c r="D6" s="13">
        <f>SUMIF('Planning'!$C:$C,"Manque",'Planning'!F:F)</f>
      </c>
      <c r="E6" s="13">
        <f>SUMIF('Planning'!$C:$C,"Manque",'Planning'!G:G)</f>
      </c>
      <c r="F6" s="13">
        <f>SUMIF('Planning'!$C:$C,"Manque",'Planning'!H:H)</f>
      </c>
      <c r="G6" s="13">
        <f>SUMIF('Planning'!$C:$C,"Manque",'Planning'!I:I)</f>
      </c>
      <c r="H6" s="13">
        <f>SUMIF('Planning'!$C:$C,"Manque",'Planning'!J:J)</f>
      </c>
      <c r="I6" s="12">
        <f>SUM(B6:H6)</f>
      </c>
    </row>
    <row r="9" spans="1:9" x14ac:dyDescent="0.25">
      <c r="A9" s="7" t="s">
        <v>51</v>
      </c>
      <c r="B9" s="8">
        <f>'Planning'!D5</f>
      </c>
      <c r="C9" s="8">
        <f>'Planning'!E5</f>
      </c>
      <c r="D9" s="8">
        <f>'Planning'!F5</f>
      </c>
      <c r="E9" s="8">
        <f>'Planning'!G5</f>
      </c>
      <c r="F9" s="8">
        <f>'Planning'!H5</f>
      </c>
      <c r="G9" s="8">
        <f>'Planning'!I5</f>
      </c>
      <c r="H9" s="8">
        <f>'Planning'!J5</f>
      </c>
      <c r="I9" s="8" t="s">
        <v>50</v>
      </c>
    </row>
    <row r="10" spans="1:9" x14ac:dyDescent="0.25">
      <c r="A10">
        <f>'Planning'!A6</f>
      </c>
      <c r="B10" s="13">
        <f>SUMIFS('Planning'!D:D,'Planning'!$A:$A,$A10,'Planning'!$C:$C,"Manque")</f>
      </c>
      <c r="C10" s="13">
        <f>SUMIFS('Planning'!E:E,'Planning'!$A:$A,$A10,'Planning'!$C:$C,"Manque")</f>
      </c>
      <c r="D10" s="13">
        <f>SUMIFS('Planning'!F:F,'Planning'!$A:$A,$A10,'Planning'!$C:$C,"Manque")</f>
      </c>
      <c r="E10" s="13">
        <f>SUMIFS('Planning'!G:G,'Planning'!$A:$A,$A10,'Planning'!$C:$C,"Manque")</f>
      </c>
      <c r="F10" s="13">
        <f>SUMIFS('Planning'!H:H,'Planning'!$A:$A,$A10,'Planning'!$C:$C,"Manque")</f>
      </c>
      <c r="G10" s="13">
        <f>SUMIFS('Planning'!I:I,'Planning'!$A:$A,$A10,'Planning'!$C:$C,"Manque")</f>
      </c>
      <c r="H10" s="13">
        <f>SUMIFS('Planning'!J:J,'Planning'!$A:$A,$A10,'Planning'!$C:$C,"Manque")</f>
      </c>
      <c r="I10" s="12">
        <f>SUM(B10:H10)</f>
      </c>
    </row>
    <row r="11" spans="1:9" x14ac:dyDescent="0.25">
      <c r="A11">
        <f>'Planning'!A26</f>
      </c>
      <c r="B11" s="13">
        <f>SUMIFS('Planning'!D:D,'Planning'!$A:$A,$A11,'Planning'!$C:$C,"Manque")</f>
      </c>
      <c r="C11" s="13">
        <f>SUMIFS('Planning'!E:E,'Planning'!$A:$A,$A11,'Planning'!$C:$C,"Manque")</f>
      </c>
      <c r="D11" s="13">
        <f>SUMIFS('Planning'!F:F,'Planning'!$A:$A,$A11,'Planning'!$C:$C,"Manque")</f>
      </c>
      <c r="E11" s="13">
        <f>SUMIFS('Planning'!G:G,'Planning'!$A:$A,$A11,'Planning'!$C:$C,"Manque")</f>
      </c>
      <c r="F11" s="13">
        <f>SUMIFS('Planning'!H:H,'Planning'!$A:$A,$A11,'Planning'!$C:$C,"Manque")</f>
      </c>
      <c r="G11" s="13">
        <f>SUMIFS('Planning'!I:I,'Planning'!$A:$A,$A11,'Planning'!$C:$C,"Manque")</f>
      </c>
      <c r="H11" s="13">
        <f>SUMIFS('Planning'!J:J,'Planning'!$A:$A,$A11,'Planning'!$C:$C,"Manque")</f>
      </c>
      <c r="I11" s="12">
        <f>SUM(B11:H11)</f>
      </c>
    </row>
    <row r="12" spans="1:9" x14ac:dyDescent="0.25">
      <c r="A12">
        <f>'Planning'!A46</f>
      </c>
      <c r="B12" s="13">
        <f>SUMIFS('Planning'!D:D,'Planning'!$A:$A,$A12,'Planning'!$C:$C,"Manque")</f>
      </c>
      <c r="C12" s="13">
        <f>SUMIFS('Planning'!E:E,'Planning'!$A:$A,$A12,'Planning'!$C:$C,"Manque")</f>
      </c>
      <c r="D12" s="13">
        <f>SUMIFS('Planning'!F:F,'Planning'!$A:$A,$A12,'Planning'!$C:$C,"Manque")</f>
      </c>
      <c r="E12" s="13">
        <f>SUMIFS('Planning'!G:G,'Planning'!$A:$A,$A12,'Planning'!$C:$C,"Manque")</f>
      </c>
      <c r="F12" s="13">
        <f>SUMIFS('Planning'!H:H,'Planning'!$A:$A,$A12,'Planning'!$C:$C,"Manque")</f>
      </c>
      <c r="G12" s="13">
        <f>SUMIFS('Planning'!I:I,'Planning'!$A:$A,$A12,'Planning'!$C:$C,"Manque")</f>
      </c>
      <c r="H12" s="13">
        <f>SUMIFS('Planning'!J:J,'Planning'!$A:$A,$A12,'Planning'!$C:$C,"Manque")</f>
      </c>
      <c r="I12" s="12">
        <f>SUM(B12:H12)</f>
      </c>
    </row>
  </sheetData>
  <conditionalFormatting sqref="B6:I6">
    <cfRule type="cellIs" dxfId="15" priority="1" operator="greaterThan">
      <formula>0</formula>
    </cfRule>
  </conditionalFormatting>
  <conditionalFormatting sqref="B10:I12">
    <cfRule type="cellIs" dxfId="16" priority="1" operator="greater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 d'emploi</vt:lpstr>
      <vt:lpstr>Planning</vt:lpstr>
      <vt:lpstr>Récapitulatif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benevol.app</dc:creator>
  <dc:title>Modèle de planning des bénévoles</dc:title>
  <dc:subject>Planning des bénévoles sur une semaine</dc:subject>
  <dc:description/>
  <cp:keywords/>
  <cp:category/>
  <cp:lastModifiedBy>Unknown</cp:lastModifiedBy>
  <dcterms:created xsi:type="dcterms:W3CDTF">2026-10-22T00:00:00Z</dcterms:created>
  <dcterms:modified xsi:type="dcterms:W3CDTF">2026-10-22T00:00:00Z</dcterms:modified>
</cp:coreProperties>
</file>